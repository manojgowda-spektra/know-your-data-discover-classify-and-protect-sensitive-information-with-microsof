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-Testing-Workspace\Cosmos-Labs\UC1-Know-Your-Data-SMB\07-Handover\smb-purview-know-your-data\"/>
    </mc:Choice>
  </mc:AlternateContent>
  <xr:revisionPtr revIDLastSave="0" documentId="13_ncr:1_{9FB76D2A-B184-4B88-A2E1-711132469A55}" xr6:coauthVersionLast="47" xr6:coauthVersionMax="47" xr10:uidLastSave="{00000000-0000-0000-0000-000000000000}"/>
  <bookViews>
    <workbookView xWindow="-110" yWindow="-110" windowWidth="19420" windowHeight="11500" firstSheet="1" activeTab="1" xr2:uid="{B6782F7B-B403-4565-A0E7-E988FF44DA43}"/>
  </bookViews>
  <sheets>
    <sheet name="Overall-cost" sheetId="2" state="hidden" r:id="rId1"/>
    <sheet name="Cost-Estim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12" i="1"/>
  <c r="H13" i="1"/>
  <c r="H14" i="1"/>
  <c r="H11" i="1"/>
  <c r="D4" i="1"/>
  <c r="E8" i="2"/>
  <c r="D8" i="2"/>
  <c r="H9" i="1"/>
  <c r="H10" i="1" l="1"/>
  <c r="H17" i="1" s="1"/>
  <c r="H18" i="1" l="1"/>
  <c r="C8" i="2" l="1"/>
  <c r="C7" i="2"/>
  <c r="C10" i="2" l="1"/>
</calcChain>
</file>

<file path=xl/sharedStrings.xml><?xml version="1.0" encoding="utf-8"?>
<sst xmlns="http://schemas.openxmlformats.org/spreadsheetml/2006/main" count="61" uniqueCount="59">
  <si>
    <t>Cost Updated on</t>
  </si>
  <si>
    <t>Updated by</t>
  </si>
  <si>
    <t>Reviewed By</t>
  </si>
  <si>
    <t>Region</t>
  </si>
  <si>
    <t>Harsha</t>
  </si>
  <si>
    <t>Prapthi</t>
  </si>
  <si>
    <t>East US 2, West US, South Central US</t>
  </si>
  <si>
    <t>Lab Name</t>
  </si>
  <si>
    <t>Lab Cost</t>
  </si>
  <si>
    <t>Overall duration (Hours)</t>
  </si>
  <si>
    <t>Lab Uptime (Hours)</t>
  </si>
  <si>
    <t>Total Number of Seats</t>
  </si>
  <si>
    <t>Lab guide preview link</t>
  </si>
  <si>
    <t>Github link</t>
  </si>
  <si>
    <t>Branch</t>
  </si>
  <si>
    <t>main</t>
  </si>
  <si>
    <t>Total Cost</t>
  </si>
  <si>
    <t>Total cost per seat</t>
  </si>
  <si>
    <t>deployment duration - 2 hrs</t>
  </si>
  <si>
    <t>You may update the following values to calculate the cost.</t>
  </si>
  <si>
    <t>1. D7: Total duration for which resources need to be preserved.</t>
  </si>
  <si>
    <t>2. E7: Duration for which you expect virtual machines to be running in overall duration( Uptime)</t>
  </si>
  <si>
    <t>3. F7: Total number of students/lab seat count</t>
  </si>
  <si>
    <r>
      <t xml:space="preserve">4. Total Cost will be updated in cell C8                                                                                                                                             </t>
    </r>
    <r>
      <rPr>
        <sz val="11"/>
        <color rgb="FFFF0000"/>
        <rFont val="Aptos Narrow"/>
        <family val="2"/>
        <scheme val="minor"/>
      </rPr>
      <t>NOTE: All costs are in US dollars ($)</t>
    </r>
  </si>
  <si>
    <t>CloudLabs - Azure Cost Calculator</t>
  </si>
  <si>
    <t>Please enter duration (In Hours)</t>
  </si>
  <si>
    <t>Please enter uptime (In Hours)</t>
  </si>
  <si>
    <t>Total Number of Lab Seats</t>
  </si>
  <si>
    <t>COST ESTIMATE</t>
  </si>
  <si>
    <t>Track name</t>
  </si>
  <si>
    <t>Dedicated Resources Deployed</t>
  </si>
  <si>
    <t>Type and Size</t>
  </si>
  <si>
    <t>Resource can be stopped, if true enter 1 otherwise 0</t>
  </si>
  <si>
    <t>Cost/Month</t>
  </si>
  <si>
    <t>Fixed Cost</t>
  </si>
  <si>
    <t>Count</t>
  </si>
  <si>
    <t>Resource Cost</t>
  </si>
  <si>
    <t>Virtual Machine Lab VM (Windows Server)</t>
  </si>
  <si>
    <t>OS Disk for Lab VM</t>
  </si>
  <si>
    <t>Public IP address</t>
  </si>
  <si>
    <t>Type: Standard, Static</t>
  </si>
  <si>
    <t>Virtual Network (Lab VM)</t>
  </si>
  <si>
    <t>Network Interface</t>
  </si>
  <si>
    <t>Network Security Group</t>
  </si>
  <si>
    <t>Total Cost Per Seat</t>
  </si>
  <si>
    <t>Total cost for 1 seat(s)</t>
  </si>
  <si>
    <t>You may update the following values to calculate the cost</t>
  </si>
  <si>
    <t>1. D2: Total duration for which resources need to be preserved.</t>
  </si>
  <si>
    <t>2. D3: Duration for which you expect virtual machines to be running in overall document(Uptime).</t>
  </si>
  <si>
    <t>3. D4: Total number of students/lab seats</t>
  </si>
  <si>
    <r>
      <t>NOTE:</t>
    </r>
    <r>
      <rPr>
        <b/>
        <sz val="11"/>
        <color rgb="FFFF0000"/>
        <rFont val="Aptos Narrow"/>
        <family val="2"/>
        <scheme val="minor"/>
      </rPr>
      <t xml:space="preserve"> All costs are in US dollars ($)</t>
    </r>
  </si>
  <si>
    <t>Know Your Data: Discover, Classify and Protect Sensitive Information with Microsoft Purview - SMB</t>
  </si>
  <si>
    <t>https://experience.cloudlabs.ai/#labguidepreview/65666d6b-6ede-4dbb-a3fd-9e805df14959/1</t>
  </si>
  <si>
    <t>https://github.com/CloudLabsAI-Azure/hack-in-a-day-challenges/tree/main/security/smb-purview-know-your-data</t>
  </si>
  <si>
    <t>Standard D2s v5 (2 vcpus, 8 GiB memory)</t>
  </si>
  <si>
    <t>Microsoft 365 E5 licence (per user)</t>
  </si>
  <si>
    <t>1 licence, held for the lab period</t>
  </si>
  <si>
    <t>VM confirmed Standard_D2s_v5 and disk StandardSSD_LRS from the SMB DeploymentPackage/deploy-01.json, 30 Sep 2026. VM and disk Cost/Month are blank - confirm current East US pay-as-you-go rates and enter them.</t>
  </si>
  <si>
    <t>Standard SSD LRS, ~128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</si>
</sst>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.00"/>
    <numFmt numFmtId="166" formatCode="[$$-409]#,##0.00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444444"/>
      <name val="Aptos Narrow"/>
      <family val="2"/>
      <charset val="1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FFFF00"/>
        <bgColor rgb="FF000000"/>
      </patternFill>
    </fill>
  </fills>
  <borders count="5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12">
    <xf numFmtId="0" fontId="0" fillId="0" borderId="0" xfId="0"/>
    <xf numFmtId="0" fontId="3" fillId="0" borderId="0" xfId="0" applyFont="1"/>
    <xf numFmtId="0" fontId="4" fillId="0" borderId="0" xfId="0" applyFont="1"/>
    <xf numFmtId="0" fontId="5" fillId="3" borderId="5" xfId="0" applyFont="1" applyFill="1" applyBorder="1"/>
    <xf numFmtId="0" fontId="5" fillId="3" borderId="10" xfId="0" applyFont="1" applyFill="1" applyBorder="1"/>
    <xf numFmtId="0" fontId="5" fillId="5" borderId="16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left" vertical="center" wrapText="1"/>
    </xf>
    <xf numFmtId="0" fontId="4" fillId="0" borderId="20" xfId="0" applyFont="1" applyBorder="1" applyAlignment="1">
      <alignment horizontal="center"/>
    </xf>
    <xf numFmtId="0" fontId="3" fillId="0" borderId="20" xfId="0" applyFont="1" applyBorder="1"/>
    <xf numFmtId="0" fontId="4" fillId="0" borderId="20" xfId="0" applyFont="1" applyBorder="1"/>
    <xf numFmtId="0" fontId="3" fillId="0" borderId="21" xfId="0" applyFont="1" applyBorder="1"/>
    <xf numFmtId="0" fontId="4" fillId="6" borderId="20" xfId="0" applyFont="1" applyFill="1" applyBorder="1"/>
    <xf numFmtId="0" fontId="4" fillId="0" borderId="10" xfId="0" applyFont="1" applyBorder="1"/>
    <xf numFmtId="0" fontId="9" fillId="0" borderId="0" xfId="0" applyFont="1"/>
    <xf numFmtId="0" fontId="4" fillId="6" borderId="20" xfId="0" applyFont="1" applyFill="1" applyBorder="1" applyAlignment="1">
      <alignment horizontal="left" vertical="center"/>
    </xf>
    <xf numFmtId="0" fontId="9" fillId="0" borderId="20" xfId="0" applyFont="1" applyBorder="1" applyAlignment="1">
      <alignment horizontal="left" vertical="top" wrapText="1"/>
    </xf>
    <xf numFmtId="0" fontId="4" fillId="10" borderId="29" xfId="0" applyFont="1" applyFill="1" applyBorder="1"/>
    <xf numFmtId="0" fontId="8" fillId="8" borderId="36" xfId="0" applyFont="1" applyFill="1" applyBorder="1" applyAlignment="1">
      <alignment vertical="top"/>
    </xf>
    <xf numFmtId="0" fontId="8" fillId="8" borderId="37" xfId="0" applyFont="1" applyFill="1" applyBorder="1" applyAlignment="1">
      <alignment horizontal="center" vertical="top"/>
    </xf>
    <xf numFmtId="0" fontId="8" fillId="8" borderId="38" xfId="0" applyFont="1" applyFill="1" applyBorder="1" applyAlignment="1">
      <alignment horizontal="center" vertical="top" wrapText="1"/>
    </xf>
    <xf numFmtId="0" fontId="8" fillId="7" borderId="0" xfId="0" applyFont="1" applyFill="1" applyAlignment="1">
      <alignment horizontal="center" vertical="top" wrapText="1"/>
    </xf>
    <xf numFmtId="0" fontId="8" fillId="8" borderId="39" xfId="0" applyFont="1" applyFill="1" applyBorder="1" applyAlignment="1">
      <alignment horizontal="center" vertical="center"/>
    </xf>
    <xf numFmtId="14" fontId="4" fillId="0" borderId="40" xfId="0" applyNumberFormat="1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8" borderId="44" xfId="0" applyFont="1" applyFill="1" applyBorder="1"/>
    <xf numFmtId="0" fontId="8" fillId="8" borderId="45" xfId="0" applyFont="1" applyFill="1" applyBorder="1" applyAlignment="1">
      <alignment horizontal="center"/>
    </xf>
    <xf numFmtId="0" fontId="8" fillId="8" borderId="46" xfId="0" applyFont="1" applyFill="1" applyBorder="1"/>
    <xf numFmtId="0" fontId="8" fillId="8" borderId="47" xfId="0" applyFont="1" applyFill="1" applyBorder="1"/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8" fillId="11" borderId="14" xfId="0" applyFont="1" applyFill="1" applyBorder="1"/>
    <xf numFmtId="0" fontId="8" fillId="11" borderId="26" xfId="0" applyFont="1" applyFill="1" applyBorder="1" applyAlignment="1">
      <alignment horizontal="center"/>
    </xf>
    <xf numFmtId="0" fontId="8" fillId="11" borderId="48" xfId="0" applyFont="1" applyFill="1" applyBorder="1" applyAlignment="1">
      <alignment horizontal="center"/>
    </xf>
    <xf numFmtId="0" fontId="4" fillId="0" borderId="42" xfId="0" applyFont="1" applyBorder="1"/>
    <xf numFmtId="0" fontId="4" fillId="0" borderId="10" xfId="0" applyFont="1" applyBorder="1" applyAlignment="1">
      <alignment horizontal="center" vertical="center" wrapText="1"/>
    </xf>
    <xf numFmtId="165" fontId="4" fillId="0" borderId="20" xfId="0" applyNumberFormat="1" applyFont="1" applyBorder="1"/>
    <xf numFmtId="164" fontId="3" fillId="0" borderId="20" xfId="0" applyNumberFormat="1" applyFont="1" applyBorder="1"/>
    <xf numFmtId="0" fontId="4" fillId="0" borderId="20" xfId="0" applyFont="1" applyBorder="1" applyAlignment="1">
      <alignment horizontal="right"/>
    </xf>
    <xf numFmtId="165" fontId="3" fillId="0" borderId="20" xfId="0" applyNumberFormat="1" applyFont="1" applyBorder="1"/>
    <xf numFmtId="166" fontId="8" fillId="9" borderId="26" xfId="0" applyNumberFormat="1" applyFont="1" applyFill="1" applyBorder="1"/>
    <xf numFmtId="0" fontId="4" fillId="0" borderId="23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8" fillId="8" borderId="46" xfId="0" applyFont="1" applyFill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/>
    </xf>
    <xf numFmtId="0" fontId="8" fillId="8" borderId="46" xfId="0" applyFont="1" applyFill="1" applyBorder="1" applyAlignment="1">
      <alignment horizontal="center" vertical="center"/>
    </xf>
    <xf numFmtId="0" fontId="4" fillId="0" borderId="50" xfId="0" applyFont="1" applyBorder="1"/>
    <xf numFmtId="0" fontId="4" fillId="0" borderId="51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2" fontId="4" fillId="7" borderId="1" xfId="0" applyNumberFormat="1" applyFont="1" applyFill="1" applyBorder="1" applyAlignment="1">
      <alignment horizontal="center" vertical="center"/>
    </xf>
    <xf numFmtId="2" fontId="8" fillId="11" borderId="14" xfId="0" applyNumberFormat="1" applyFont="1" applyFill="1" applyBorder="1" applyAlignment="1">
      <alignment horizontal="center"/>
    </xf>
    <xf numFmtId="2" fontId="8" fillId="11" borderId="10" xfId="0" applyNumberFormat="1" applyFont="1" applyFill="1" applyBorder="1" applyAlignment="1">
      <alignment horizontal="center"/>
    </xf>
    <xf numFmtId="0" fontId="11" fillId="0" borderId="20" xfId="1" applyBorder="1" applyAlignment="1">
      <alignment vertical="center"/>
    </xf>
    <xf numFmtId="0" fontId="8" fillId="0" borderId="43" xfId="0" applyFont="1" applyBorder="1" applyAlignment="1">
      <alignment wrapText="1"/>
    </xf>
    <xf numFmtId="0" fontId="11" fillId="0" borderId="20" xfId="1" applyBorder="1" applyAlignment="1">
      <alignment vertical="center" wrapText="1"/>
    </xf>
    <xf numFmtId="0" fontId="4" fillId="0" borderId="0" xfId="0" applyFont="1" applyAlignment="1">
      <alignment wrapText="1"/>
    </xf>
    <xf numFmtId="166" fontId="4" fillId="0" borderId="20" xfId="0" applyNumberFormat="1" applyFont="1" applyBorder="1"/>
    <xf numFmtId="0" fontId="8" fillId="7" borderId="20" xfId="0" applyFont="1" applyFill="1" applyBorder="1"/>
    <xf numFmtId="0" fontId="8" fillId="0" borderId="12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8" fillId="0" borderId="52" xfId="0" applyFont="1" applyBorder="1" applyAlignment="1">
      <alignment horizontal="right"/>
    </xf>
    <xf numFmtId="164" fontId="8" fillId="8" borderId="43" xfId="0" applyNumberFormat="1" applyFont="1" applyFill="1" applyBorder="1" applyAlignment="1">
      <alignment horizontal="center"/>
    </xf>
    <xf numFmtId="0" fontId="3" fillId="0" borderId="52" xfId="0" applyFont="1" applyBorder="1"/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4" fillId="0" borderId="2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25" xfId="0" applyFont="1" applyBorder="1" applyAlignment="1">
      <alignment horizontal="left" wrapText="1"/>
    </xf>
    <xf numFmtId="0" fontId="8" fillId="0" borderId="24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25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0" fillId="0" borderId="32" xfId="0" applyFont="1" applyBorder="1" applyAlignment="1">
      <alignment horizontal="left" wrapText="1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8" fillId="10" borderId="27" xfId="0" applyFont="1" applyFill="1" applyBorder="1" applyAlignment="1">
      <alignment horizontal="right"/>
    </xf>
    <xf numFmtId="0" fontId="8" fillId="10" borderId="28" xfId="0" applyFont="1" applyFill="1" applyBorder="1" applyAlignment="1">
      <alignment horizontal="right"/>
    </xf>
    <xf numFmtId="0" fontId="8" fillId="10" borderId="35" xfId="0" applyFont="1" applyFill="1" applyBorder="1" applyAlignment="1">
      <alignment horizontal="right"/>
    </xf>
    <xf numFmtId="0" fontId="4" fillId="0" borderId="30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8" fillId="0" borderId="19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top" wrapText="1"/>
    </xf>
    <xf numFmtId="0" fontId="4" fillId="0" borderId="25" xfId="0" applyFont="1" applyBorder="1"/>
    <xf numFmtId="0" fontId="4" fillId="0" borderId="30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xperience.cloudlabs.ai/" TargetMode="External"/><Relationship Id="rId1" Type="http://schemas.openxmlformats.org/officeDocument/2006/relationships/hyperlink" Target="https://github.com/CloudLabsAI-Azure/AI-Agents-using-Microsoft-Framewor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DEC3-CFCF-4D1F-95C9-5AC76E4C75A7}">
  <dimension ref="A1:J27"/>
  <sheetViews>
    <sheetView workbookViewId="0">
      <selection activeCell="F13" sqref="F13:F17"/>
    </sheetView>
  </sheetViews>
  <sheetFormatPr defaultRowHeight="14.5" x14ac:dyDescent="0.35"/>
  <cols>
    <col min="2" max="2" width="20" customWidth="1"/>
    <col min="3" max="3" width="20.26953125" customWidth="1"/>
    <col min="4" max="4" width="21.453125" customWidth="1"/>
    <col min="5" max="5" width="28.453125" customWidth="1"/>
    <col min="6" max="6" width="19.54296875" customWidth="1"/>
    <col min="7" max="7" width="27.26953125" customWidth="1"/>
    <col min="8" max="8" width="23.26953125" customWidth="1"/>
    <col min="9" max="9" width="24.7265625" customWidth="1"/>
  </cols>
  <sheetData>
    <row r="1" spans="1:10" ht="15" thickBot="1" x14ac:dyDescent="0.4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2"/>
      <c r="B2" s="21" t="s">
        <v>0</v>
      </c>
      <c r="C2" s="22" t="s">
        <v>1</v>
      </c>
      <c r="D2" s="23" t="s">
        <v>2</v>
      </c>
      <c r="E2" s="24"/>
      <c r="F2" s="24"/>
      <c r="G2" s="2"/>
      <c r="H2" s="2"/>
      <c r="I2" s="25" t="s">
        <v>3</v>
      </c>
      <c r="J2" s="2"/>
    </row>
    <row r="3" spans="1:10" ht="29" x14ac:dyDescent="0.35">
      <c r="A3" s="2"/>
      <c r="B3" s="26">
        <v>46104</v>
      </c>
      <c r="C3" s="27" t="s">
        <v>4</v>
      </c>
      <c r="D3" s="28" t="s">
        <v>5</v>
      </c>
      <c r="E3" s="29"/>
      <c r="F3" s="29"/>
      <c r="G3" s="2"/>
      <c r="H3" s="2"/>
      <c r="I3" s="60" t="s">
        <v>6</v>
      </c>
      <c r="J3" s="2"/>
    </row>
    <row r="4" spans="1:10" x14ac:dyDescent="0.35">
      <c r="A4" s="2"/>
      <c r="B4" s="30"/>
      <c r="C4" s="31"/>
      <c r="D4" s="2"/>
      <c r="E4" s="2"/>
      <c r="F4" s="2"/>
      <c r="G4" s="2"/>
      <c r="H4" s="2"/>
      <c r="I4" s="2"/>
      <c r="J4" s="2"/>
    </row>
    <row r="5" spans="1:10" x14ac:dyDescent="0.3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71.25" customHeight="1" x14ac:dyDescent="0.35">
      <c r="A6" s="2"/>
      <c r="B6" s="32" t="s">
        <v>7</v>
      </c>
      <c r="C6" s="33" t="s">
        <v>8</v>
      </c>
      <c r="D6" s="34" t="s">
        <v>9</v>
      </c>
      <c r="E6" s="34" t="s">
        <v>10</v>
      </c>
      <c r="F6" s="34" t="s">
        <v>11</v>
      </c>
      <c r="G6" s="50" t="s">
        <v>12</v>
      </c>
      <c r="H6" s="52" t="s">
        <v>13</v>
      </c>
      <c r="I6" s="35" t="s">
        <v>14</v>
      </c>
      <c r="J6" s="2"/>
    </row>
    <row r="7" spans="1:10" ht="88.5" customHeight="1" x14ac:dyDescent="0.35">
      <c r="A7" s="2"/>
      <c r="B7" s="48" t="s">
        <v>51</v>
      </c>
      <c r="C7" s="56">
        <f>'Cost-Estimation'!H18</f>
        <v>0.50541666666666663</v>
      </c>
      <c r="D7" s="36">
        <v>6</v>
      </c>
      <c r="E7" s="37">
        <v>6</v>
      </c>
      <c r="F7" s="49">
        <v>1</v>
      </c>
      <c r="G7" s="59" t="s">
        <v>52</v>
      </c>
      <c r="H7" s="61" t="s">
        <v>53</v>
      </c>
      <c r="I7" s="51" t="s">
        <v>15</v>
      </c>
      <c r="J7" s="2"/>
    </row>
    <row r="8" spans="1:10" x14ac:dyDescent="0.35">
      <c r="A8" s="2"/>
      <c r="B8" s="38" t="s">
        <v>16</v>
      </c>
      <c r="C8" s="57">
        <f>'Cost-Estimation'!H18</f>
        <v>0.50541666666666663</v>
      </c>
      <c r="D8" s="39">
        <f>SUM(D7)</f>
        <v>6</v>
      </c>
      <c r="E8" s="40">
        <f>SUM(E7)</f>
        <v>6</v>
      </c>
      <c r="F8" s="54"/>
      <c r="G8" s="55"/>
      <c r="H8" s="53"/>
      <c r="I8" s="41"/>
      <c r="J8" s="2"/>
    </row>
    <row r="9" spans="1:10" x14ac:dyDescent="0.3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/>
      <c r="B10" s="16" t="s">
        <v>17</v>
      </c>
      <c r="C10" s="58">
        <f>C8/F7</f>
        <v>0.50541666666666663</v>
      </c>
      <c r="D10" s="2"/>
      <c r="E10" s="2"/>
      <c r="F10" s="2"/>
      <c r="G10" s="2"/>
      <c r="H10" s="2"/>
      <c r="I10" s="2"/>
      <c r="J10" s="2"/>
    </row>
    <row r="11" spans="1:10" x14ac:dyDescent="0.35">
      <c r="A11" s="2"/>
      <c r="B11" s="2"/>
      <c r="C11" s="2"/>
      <c r="D11" s="2"/>
      <c r="E11" s="62" t="s">
        <v>18</v>
      </c>
      <c r="F11" s="2"/>
      <c r="G11" s="2"/>
      <c r="H11" s="2"/>
      <c r="I11" s="2"/>
      <c r="J11" s="2"/>
    </row>
    <row r="12" spans="1:1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29.15" customHeight="1" x14ac:dyDescent="0.35">
      <c r="A13" s="105"/>
      <c r="B13" s="106" t="s">
        <v>19</v>
      </c>
      <c r="C13" s="104"/>
      <c r="D13" s="104"/>
      <c r="E13" s="104"/>
      <c r="F13" s="111"/>
      <c r="G13" s="111"/>
      <c r="H13" s="111"/>
      <c r="I13" s="111"/>
      <c r="J13" s="111"/>
    </row>
    <row r="14" spans="1:10" ht="29.15" customHeight="1" x14ac:dyDescent="0.35">
      <c r="A14" s="105"/>
      <c r="B14" s="107" t="s">
        <v>20</v>
      </c>
      <c r="C14" s="108"/>
      <c r="D14" s="108"/>
      <c r="E14" s="108"/>
      <c r="F14" s="111"/>
      <c r="G14" s="111"/>
      <c r="H14" s="111"/>
      <c r="I14" s="111"/>
      <c r="J14" s="111"/>
    </row>
    <row r="15" spans="1:10" ht="43.5" customHeight="1" x14ac:dyDescent="0.35">
      <c r="A15" s="105"/>
      <c r="B15" s="107" t="s">
        <v>21</v>
      </c>
      <c r="C15" s="108"/>
      <c r="D15" s="108"/>
      <c r="E15" s="108"/>
      <c r="F15" s="111"/>
      <c r="G15" s="111"/>
      <c r="H15" s="111"/>
      <c r="I15" s="111"/>
      <c r="J15" s="111"/>
    </row>
    <row r="16" spans="1:10" ht="29.15" customHeight="1" x14ac:dyDescent="0.35">
      <c r="A16" s="105"/>
      <c r="B16" s="107" t="s">
        <v>22</v>
      </c>
      <c r="C16" s="108"/>
      <c r="D16" s="108"/>
      <c r="E16" s="108"/>
      <c r="F16" s="111"/>
      <c r="G16" s="111"/>
      <c r="H16" s="111"/>
      <c r="I16" s="111"/>
      <c r="J16" s="111"/>
    </row>
    <row r="17" spans="1:10" ht="29.15" customHeight="1" x14ac:dyDescent="0.35">
      <c r="A17" s="105"/>
      <c r="B17" s="109" t="s">
        <v>23</v>
      </c>
      <c r="C17" s="110"/>
      <c r="D17" s="110"/>
      <c r="E17" s="110"/>
      <c r="F17" s="111"/>
      <c r="G17" s="111"/>
      <c r="H17" s="111"/>
      <c r="I17" s="111"/>
      <c r="J17" s="111"/>
    </row>
    <row r="18" spans="1:10" x14ac:dyDescent="0.35">
      <c r="A18" s="2"/>
      <c r="B18" s="104"/>
      <c r="C18" s="104"/>
      <c r="D18" s="104"/>
      <c r="E18" s="2"/>
      <c r="F18" s="2"/>
      <c r="G18" s="2"/>
      <c r="H18" s="2"/>
      <c r="I18" s="2"/>
      <c r="J18" s="2"/>
    </row>
    <row r="19" spans="1:10" x14ac:dyDescent="0.35">
      <c r="A19" s="2"/>
      <c r="B19" s="108"/>
      <c r="C19" s="108"/>
      <c r="D19" s="108"/>
      <c r="E19" s="2"/>
      <c r="F19" s="2"/>
      <c r="G19" s="2"/>
      <c r="H19" s="2"/>
      <c r="I19" s="2"/>
      <c r="J19" s="2"/>
    </row>
    <row r="20" spans="1:10" x14ac:dyDescent="0.35">
      <c r="A20" s="2"/>
      <c r="B20" s="108"/>
      <c r="C20" s="108"/>
      <c r="D20" s="108"/>
      <c r="E20" s="2"/>
      <c r="F20" s="2"/>
      <c r="G20" s="2"/>
      <c r="H20" s="2"/>
      <c r="I20" s="2"/>
      <c r="J20" s="2"/>
    </row>
    <row r="21" spans="1:10" x14ac:dyDescent="0.35">
      <c r="A21" s="2"/>
      <c r="B21" s="108"/>
      <c r="C21" s="108"/>
      <c r="D21" s="108"/>
      <c r="E21" s="2"/>
      <c r="F21" s="2"/>
      <c r="G21" s="2"/>
      <c r="H21" s="2"/>
      <c r="I21" s="2"/>
      <c r="J21" s="2"/>
    </row>
    <row r="22" spans="1:10" x14ac:dyDescent="0.35">
      <c r="A22" s="2"/>
      <c r="B22" s="108"/>
      <c r="C22" s="108"/>
      <c r="D22" s="108"/>
      <c r="E22" s="2"/>
      <c r="F22" s="2"/>
      <c r="G22" s="2"/>
      <c r="H22" s="2"/>
      <c r="I22" s="2"/>
      <c r="J22" s="2"/>
    </row>
    <row r="23" spans="1:10" x14ac:dyDescent="0.35">
      <c r="A23" s="2"/>
      <c r="B23" s="108"/>
      <c r="C23" s="108"/>
      <c r="D23" s="108"/>
      <c r="E23" s="2"/>
      <c r="F23" s="2"/>
      <c r="G23" s="2"/>
      <c r="H23" s="2"/>
      <c r="I23" s="2"/>
      <c r="J23" s="2"/>
    </row>
    <row r="24" spans="1:10" x14ac:dyDescent="0.35">
      <c r="A24" s="2"/>
      <c r="B24" s="108"/>
      <c r="C24" s="108"/>
      <c r="D24" s="108"/>
      <c r="E24" s="2"/>
      <c r="F24" s="2"/>
      <c r="G24" s="2"/>
      <c r="H24" s="2"/>
      <c r="I24" s="2"/>
      <c r="J24" s="2"/>
    </row>
    <row r="25" spans="1:10" x14ac:dyDescent="0.35">
      <c r="A25" s="2"/>
      <c r="B25" s="108"/>
      <c r="C25" s="108"/>
      <c r="D25" s="108"/>
      <c r="E25" s="2"/>
      <c r="F25" s="2"/>
      <c r="G25" s="2"/>
      <c r="H25" s="2"/>
      <c r="I25" s="2"/>
      <c r="J25" s="2"/>
    </row>
    <row r="26" spans="1:10" x14ac:dyDescent="0.35">
      <c r="A26" s="2"/>
      <c r="B26" s="108"/>
      <c r="C26" s="108"/>
      <c r="D26" s="108"/>
      <c r="E26" s="2"/>
      <c r="F26" s="2"/>
      <c r="G26" s="2"/>
      <c r="H26" s="2"/>
      <c r="I26" s="2"/>
      <c r="J26" s="2"/>
    </row>
    <row r="27" spans="1:1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</sheetData>
  <mergeCells count="20">
    <mergeCell ref="B25:D25"/>
    <mergeCell ref="B26:D26"/>
    <mergeCell ref="B19:D19"/>
    <mergeCell ref="B20:D20"/>
    <mergeCell ref="B21:D21"/>
    <mergeCell ref="B22:D22"/>
    <mergeCell ref="B23:D23"/>
    <mergeCell ref="B24:D24"/>
    <mergeCell ref="F13:F17"/>
    <mergeCell ref="G13:G17"/>
    <mergeCell ref="H13:H17"/>
    <mergeCell ref="I13:I17"/>
    <mergeCell ref="J13:J17"/>
    <mergeCell ref="B18:D18"/>
    <mergeCell ref="A13:A17"/>
    <mergeCell ref="B13:E13"/>
    <mergeCell ref="B14:E14"/>
    <mergeCell ref="B15:E15"/>
    <mergeCell ref="B16:E16"/>
    <mergeCell ref="B17:E17"/>
  </mergeCells>
  <hyperlinks>
    <hyperlink ref="H7" r:id="rId1" display="https://github.com/CloudLabsAI-Azure/AI-Agents-using-Microsoft-Frameworks" xr:uid="{DC729D3C-6769-4CCA-B76B-0365C00D9A0F}"/>
    <hyperlink ref="G7" r:id="rId2" location="labguidepreview/9d3561be-fda4-4de1-8d55-b05b8eef70d6/1" display="CloudLabs LabGuide Preview" xr:uid="{EBB2CF3C-4BE5-42B5-9987-9ED8452C93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46E8-DEEA-4ACA-A1BB-7B1D331DA9CB}">
  <dimension ref="A1:Q28"/>
  <sheetViews>
    <sheetView tabSelected="1" topLeftCell="B1" workbookViewId="0">
      <selection activeCell="J7" sqref="J7"/>
    </sheetView>
  </sheetViews>
  <sheetFormatPr defaultRowHeight="14.5" x14ac:dyDescent="0.35"/>
  <cols>
    <col min="1" max="1" width="18.453125" customWidth="1"/>
    <col min="2" max="2" width="30.81640625" customWidth="1"/>
    <col min="3" max="3" width="26.26953125" customWidth="1"/>
    <col min="4" max="4" width="19.453125" customWidth="1"/>
    <col min="5" max="5" width="15.1796875" customWidth="1"/>
    <col min="6" max="6" width="13.453125" customWidth="1"/>
    <col min="9" max="9" width="15.81640625" customWidth="1"/>
  </cols>
  <sheetData>
    <row r="1" spans="1:17" ht="26" x14ac:dyDescent="0.6">
      <c r="A1" s="75" t="s">
        <v>24</v>
      </c>
      <c r="B1" s="76"/>
      <c r="C1" s="76"/>
      <c r="D1" s="76"/>
      <c r="E1" s="76"/>
      <c r="F1" s="76"/>
      <c r="G1" s="76"/>
      <c r="H1" s="76"/>
      <c r="I1" s="76"/>
      <c r="J1" s="1"/>
      <c r="K1" s="2"/>
      <c r="L1" s="2"/>
      <c r="M1" s="2"/>
      <c r="N1" s="2"/>
      <c r="O1" s="2"/>
      <c r="P1" s="2"/>
      <c r="Q1" s="2"/>
    </row>
    <row r="2" spans="1:17" ht="16" x14ac:dyDescent="0.4">
      <c r="A2" s="77" t="s">
        <v>25</v>
      </c>
      <c r="B2" s="78"/>
      <c r="C2" s="79"/>
      <c r="D2" s="3">
        <v>6</v>
      </c>
      <c r="E2" s="80"/>
      <c r="F2" s="81"/>
      <c r="G2" s="81"/>
      <c r="H2" s="81"/>
      <c r="I2" s="81"/>
      <c r="J2" s="1"/>
      <c r="K2" s="2"/>
      <c r="L2" s="2"/>
      <c r="M2" s="2"/>
      <c r="N2" s="2"/>
      <c r="O2" s="2"/>
      <c r="P2" s="2"/>
      <c r="Q2" s="2"/>
    </row>
    <row r="3" spans="1:17" ht="16" x14ac:dyDescent="0.4">
      <c r="A3" s="70" t="s">
        <v>26</v>
      </c>
      <c r="B3" s="71"/>
      <c r="C3" s="72"/>
      <c r="D3" s="4">
        <v>6</v>
      </c>
      <c r="E3" s="73"/>
      <c r="F3" s="74"/>
      <c r="G3" s="74"/>
      <c r="H3" s="74"/>
      <c r="I3" s="74"/>
      <c r="J3" s="1"/>
      <c r="K3" s="2"/>
      <c r="L3" s="2"/>
      <c r="M3" s="2"/>
      <c r="N3" s="2"/>
      <c r="O3" s="2"/>
      <c r="P3" s="2"/>
      <c r="Q3" s="2"/>
    </row>
    <row r="4" spans="1:17" ht="16" x14ac:dyDescent="0.4">
      <c r="A4" s="70" t="s">
        <v>27</v>
      </c>
      <c r="B4" s="71"/>
      <c r="C4" s="72"/>
      <c r="D4" s="4">
        <f>'Overall-cost'!F7</f>
        <v>1</v>
      </c>
      <c r="E4" s="73"/>
      <c r="F4" s="74"/>
      <c r="G4" s="74"/>
      <c r="H4" s="74"/>
      <c r="I4" s="74"/>
      <c r="J4" s="1"/>
      <c r="K4" s="2"/>
      <c r="L4" s="2"/>
      <c r="M4" s="2"/>
      <c r="N4" s="2"/>
      <c r="O4" s="2"/>
      <c r="P4" s="2"/>
      <c r="Q4" s="2"/>
    </row>
    <row r="5" spans="1:17" ht="16.5" thickBot="1" x14ac:dyDescent="0.45">
      <c r="A5" s="91"/>
      <c r="B5" s="92"/>
      <c r="C5" s="92"/>
      <c r="D5" s="92"/>
      <c r="E5" s="92"/>
      <c r="F5" s="92"/>
      <c r="G5" s="92"/>
      <c r="H5" s="92"/>
      <c r="I5" s="92"/>
      <c r="J5" s="1"/>
      <c r="K5" s="2"/>
      <c r="L5" s="2"/>
      <c r="M5" s="2"/>
      <c r="N5" s="2"/>
      <c r="O5" s="2"/>
      <c r="P5" s="2"/>
      <c r="Q5" s="2"/>
    </row>
    <row r="6" spans="1:17" ht="16.5" thickBot="1" x14ac:dyDescent="0.45">
      <c r="A6" s="93" t="s">
        <v>28</v>
      </c>
      <c r="B6" s="94"/>
      <c r="C6" s="94"/>
      <c r="D6" s="94"/>
      <c r="E6" s="94"/>
      <c r="F6" s="94"/>
      <c r="G6" s="94"/>
      <c r="H6" s="94"/>
      <c r="I6" s="94"/>
      <c r="J6" s="1"/>
      <c r="K6" s="2"/>
      <c r="L6" s="2"/>
      <c r="M6" s="2"/>
      <c r="N6" s="2"/>
      <c r="O6" s="2"/>
      <c r="P6" s="2"/>
      <c r="Q6" s="2"/>
    </row>
    <row r="7" spans="1:17" ht="95.15" customHeight="1" x14ac:dyDescent="0.35">
      <c r="A7" s="5" t="s">
        <v>29</v>
      </c>
      <c r="B7" s="6" t="s">
        <v>30</v>
      </c>
      <c r="C7" s="7" t="s">
        <v>31</v>
      </c>
      <c r="D7" s="7" t="s">
        <v>32</v>
      </c>
      <c r="E7" s="7" t="s">
        <v>33</v>
      </c>
      <c r="F7" s="7" t="s">
        <v>34</v>
      </c>
      <c r="G7" s="7" t="s">
        <v>35</v>
      </c>
      <c r="H7" s="8" t="s">
        <v>36</v>
      </c>
      <c r="I7" s="9" t="s">
        <v>6</v>
      </c>
      <c r="J7" s="1"/>
      <c r="K7" s="2"/>
      <c r="L7" s="2"/>
      <c r="M7" s="2"/>
      <c r="N7" s="2"/>
      <c r="O7" s="2"/>
      <c r="P7" s="2"/>
      <c r="Q7" s="2"/>
    </row>
    <row r="8" spans="1:17" ht="87.65" customHeight="1" x14ac:dyDescent="0.35">
      <c r="A8" s="101" t="s">
        <v>51</v>
      </c>
      <c r="B8" s="10" t="s">
        <v>37</v>
      </c>
      <c r="C8" s="42" t="s">
        <v>54</v>
      </c>
      <c r="D8" s="11">
        <v>1</v>
      </c>
      <c r="E8" s="44"/>
      <c r="F8" s="13">
        <v>0</v>
      </c>
      <c r="G8" s="11">
        <v>1</v>
      </c>
      <c r="H8" s="43">
        <f>IF(D8=0,(E8/720)*D$2*G8+F8*G8,(E8/720)*D$3*G8+F8*G8)</f>
        <v>0</v>
      </c>
      <c r="I8" s="14"/>
      <c r="J8" s="1"/>
      <c r="K8" s="2"/>
      <c r="L8" s="2"/>
      <c r="M8" s="2"/>
      <c r="N8" s="2"/>
      <c r="O8" s="2"/>
      <c r="P8" s="2"/>
      <c r="Q8" s="2"/>
    </row>
    <row r="9" spans="1:17" x14ac:dyDescent="0.35">
      <c r="A9" s="102"/>
      <c r="B9" s="15" t="s">
        <v>38</v>
      </c>
      <c r="C9" s="16" t="s">
        <v>58</v>
      </c>
      <c r="D9" s="11">
        <v>0</v>
      </c>
      <c r="E9" s="44"/>
      <c r="F9" s="13">
        <v>0</v>
      </c>
      <c r="G9" s="11">
        <v>1</v>
      </c>
      <c r="H9" s="43">
        <f t="shared" ref="H9:H14" si="0">IF(D9=0,(E9/720)*D$2*G9+F9*G9,(E9/720)*D$3*G9+F9*G9)</f>
        <v>0</v>
      </c>
      <c r="I9" s="14"/>
      <c r="J9" s="1"/>
      <c r="K9" s="2"/>
      <c r="L9" s="2"/>
      <c r="M9" s="2"/>
      <c r="N9" s="2"/>
      <c r="O9" s="2"/>
      <c r="P9" s="2"/>
      <c r="Q9" s="2"/>
    </row>
    <row r="10" spans="1:17" x14ac:dyDescent="0.35">
      <c r="A10" s="102"/>
      <c r="B10" s="15" t="s">
        <v>39</v>
      </c>
      <c r="C10" s="16" t="s">
        <v>40</v>
      </c>
      <c r="D10" s="11">
        <v>0</v>
      </c>
      <c r="E10" s="44">
        <v>3.65</v>
      </c>
      <c r="F10" s="13">
        <v>0</v>
      </c>
      <c r="G10" s="11">
        <v>1</v>
      </c>
      <c r="H10" s="43">
        <f t="shared" si="0"/>
        <v>3.0416666666666665E-2</v>
      </c>
      <c r="I10" s="14"/>
      <c r="J10" s="1"/>
      <c r="K10" s="1"/>
      <c r="L10" s="1"/>
      <c r="M10" s="1"/>
      <c r="N10" s="1"/>
      <c r="O10" s="1"/>
      <c r="P10" s="1"/>
      <c r="Q10" s="1"/>
    </row>
    <row r="11" spans="1:17" x14ac:dyDescent="0.35">
      <c r="A11" s="102"/>
      <c r="B11" s="15" t="s">
        <v>41</v>
      </c>
      <c r="C11" s="17"/>
      <c r="D11" s="11">
        <v>0</v>
      </c>
      <c r="E11" s="44">
        <v>0</v>
      </c>
      <c r="F11" s="13">
        <v>0</v>
      </c>
      <c r="G11" s="11">
        <v>1</v>
      </c>
      <c r="H11" s="43">
        <f t="shared" si="0"/>
        <v>0</v>
      </c>
      <c r="I11" s="14"/>
      <c r="J11" s="1"/>
      <c r="K11" s="1"/>
      <c r="L11" s="1"/>
      <c r="M11" s="1"/>
      <c r="N11" s="1"/>
      <c r="O11" s="1"/>
      <c r="P11" s="2"/>
      <c r="Q11" s="2"/>
    </row>
    <row r="12" spans="1:17" x14ac:dyDescent="0.35">
      <c r="A12" s="102"/>
      <c r="B12" s="15" t="s">
        <v>42</v>
      </c>
      <c r="C12" s="13"/>
      <c r="D12" s="11">
        <v>0</v>
      </c>
      <c r="E12" s="44">
        <v>0</v>
      </c>
      <c r="F12" s="13">
        <v>0</v>
      </c>
      <c r="G12" s="11">
        <v>1</v>
      </c>
      <c r="H12" s="43">
        <f t="shared" si="0"/>
        <v>0</v>
      </c>
      <c r="I12" s="14"/>
      <c r="J12" s="1"/>
      <c r="K12" s="1"/>
      <c r="L12" s="1"/>
      <c r="M12" s="1"/>
      <c r="N12" s="1"/>
      <c r="O12" s="1"/>
      <c r="P12" s="1"/>
      <c r="Q12" s="1"/>
    </row>
    <row r="13" spans="1:17" x14ac:dyDescent="0.35">
      <c r="A13" s="102"/>
      <c r="B13" s="15" t="s">
        <v>43</v>
      </c>
      <c r="C13" s="13"/>
      <c r="D13" s="11">
        <v>0</v>
      </c>
      <c r="E13" s="44">
        <v>0</v>
      </c>
      <c r="F13" s="13">
        <v>0</v>
      </c>
      <c r="G13" s="11">
        <v>1</v>
      </c>
      <c r="H13" s="43">
        <f t="shared" si="0"/>
        <v>0</v>
      </c>
      <c r="I13" s="14"/>
      <c r="J13" s="1"/>
      <c r="K13" s="1"/>
      <c r="L13" s="1"/>
      <c r="M13" s="1"/>
      <c r="N13" s="1"/>
      <c r="O13" s="1"/>
      <c r="P13" s="1"/>
      <c r="Q13" s="1"/>
    </row>
    <row r="14" spans="1:17" ht="27.75" customHeight="1" x14ac:dyDescent="0.35">
      <c r="A14" s="102"/>
      <c r="B14" s="15" t="s">
        <v>55</v>
      </c>
      <c r="C14" s="2" t="s">
        <v>56</v>
      </c>
      <c r="D14" s="11">
        <v>0</v>
      </c>
      <c r="E14" s="44">
        <v>57</v>
      </c>
      <c r="F14" s="45">
        <v>0</v>
      </c>
      <c r="G14" s="11">
        <v>1</v>
      </c>
      <c r="H14" s="43">
        <f t="shared" si="0"/>
        <v>0.47499999999999998</v>
      </c>
      <c r="I14" s="14"/>
      <c r="J14" s="1"/>
      <c r="K14" s="1"/>
      <c r="L14" s="1"/>
      <c r="M14" s="1"/>
      <c r="N14" s="1"/>
      <c r="O14" s="1"/>
      <c r="P14" s="1"/>
      <c r="Q14" s="1"/>
    </row>
    <row r="15" spans="1:17" x14ac:dyDescent="0.35">
      <c r="A15" s="102"/>
      <c r="B15" s="18"/>
      <c r="C15" s="19"/>
      <c r="D15" s="11"/>
      <c r="E15" s="46"/>
      <c r="F15" s="43"/>
      <c r="G15" s="11"/>
      <c r="H15" s="63"/>
      <c r="I15" s="12"/>
      <c r="J15" s="1"/>
      <c r="K15" s="1"/>
      <c r="L15" s="1"/>
      <c r="M15" s="1"/>
      <c r="N15" s="1"/>
      <c r="O15" s="1"/>
      <c r="P15" s="1"/>
      <c r="Q15" s="1"/>
    </row>
    <row r="16" spans="1:17" x14ac:dyDescent="0.35">
      <c r="A16" s="102"/>
      <c r="B16" s="13"/>
      <c r="C16" s="13"/>
      <c r="D16" s="13"/>
      <c r="E16" s="13"/>
      <c r="F16" s="13"/>
      <c r="G16" s="13"/>
      <c r="H16" s="64"/>
      <c r="I16" s="12"/>
      <c r="J16" s="1"/>
      <c r="K16" s="1"/>
      <c r="L16" s="1"/>
      <c r="M16" s="1"/>
      <c r="N16" s="1"/>
      <c r="O16" s="1"/>
      <c r="P16" s="1"/>
      <c r="Q16" s="1"/>
    </row>
    <row r="17" spans="1:17" x14ac:dyDescent="0.35">
      <c r="A17" s="103"/>
      <c r="B17" s="65" t="s">
        <v>44</v>
      </c>
      <c r="C17" s="66"/>
      <c r="D17" s="66"/>
      <c r="E17" s="66"/>
      <c r="F17" s="66"/>
      <c r="G17" s="67"/>
      <c r="H17" s="68">
        <f>SUM(H8:H14)</f>
        <v>0.50541666666666663</v>
      </c>
      <c r="I17" s="69"/>
      <c r="J17" s="1"/>
      <c r="K17" s="1"/>
      <c r="L17" s="1"/>
      <c r="M17" s="1"/>
      <c r="N17" s="1"/>
      <c r="O17" s="1"/>
      <c r="P17" s="1"/>
      <c r="Q17" s="1"/>
    </row>
    <row r="18" spans="1:17" x14ac:dyDescent="0.35">
      <c r="A18" s="95" t="s">
        <v>45</v>
      </c>
      <c r="B18" s="96"/>
      <c r="C18" s="96"/>
      <c r="D18" s="96"/>
      <c r="E18" s="96"/>
      <c r="F18" s="96"/>
      <c r="G18" s="97"/>
      <c r="H18" s="47">
        <f>H17*D4</f>
        <v>0.50541666666666663</v>
      </c>
      <c r="I18" s="20"/>
      <c r="J18" s="2"/>
      <c r="K18" s="2"/>
      <c r="L18" s="2"/>
      <c r="M18" s="2"/>
      <c r="N18" s="2"/>
      <c r="O18" s="2"/>
      <c r="P18" s="2"/>
      <c r="Q18" s="2"/>
    </row>
    <row r="19" spans="1:17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29.15" customHeight="1" x14ac:dyDescent="0.35">
      <c r="A21" s="98" t="s">
        <v>46</v>
      </c>
      <c r="B21" s="99"/>
      <c r="C21" s="100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43.5" customHeight="1" x14ac:dyDescent="0.35">
      <c r="A22" s="82" t="s">
        <v>47</v>
      </c>
      <c r="B22" s="83"/>
      <c r="C22" s="8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58" customHeight="1" x14ac:dyDescent="0.35">
      <c r="A23" s="82" t="s">
        <v>48</v>
      </c>
      <c r="B23" s="83"/>
      <c r="C23" s="8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29.15" customHeight="1" x14ac:dyDescent="0.35">
      <c r="A24" s="82" t="s">
        <v>49</v>
      </c>
      <c r="B24" s="83"/>
      <c r="C24" s="8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29.15" customHeight="1" x14ac:dyDescent="0.35">
      <c r="A25" s="85" t="s">
        <v>50</v>
      </c>
      <c r="B25" s="86"/>
      <c r="C25" s="8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35">
      <c r="A26" s="88"/>
      <c r="B26" s="89"/>
      <c r="C26" s="90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8" spans="1:17" x14ac:dyDescent="0.35">
      <c r="A28" t="s">
        <v>57</v>
      </c>
    </row>
  </sheetData>
  <mergeCells count="17">
    <mergeCell ref="A24:C24"/>
    <mergeCell ref="A25:C25"/>
    <mergeCell ref="A26:C26"/>
    <mergeCell ref="A5:I5"/>
    <mergeCell ref="A6:I6"/>
    <mergeCell ref="A18:G18"/>
    <mergeCell ref="A21:C21"/>
    <mergeCell ref="A22:C22"/>
    <mergeCell ref="A23:C23"/>
    <mergeCell ref="A8:A17"/>
    <mergeCell ref="A4:C4"/>
    <mergeCell ref="E4:I4"/>
    <mergeCell ref="A1:I1"/>
    <mergeCell ref="A2:C2"/>
    <mergeCell ref="E2:I2"/>
    <mergeCell ref="A3:C3"/>
    <mergeCell ref="E3:I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be2e8-895c-4bca-ac32-df7929f4fc94">
      <Terms xmlns="http://schemas.microsoft.com/office/infopath/2007/PartnerControls"/>
    </lcf76f155ced4ddcb4097134ff3c332f>
    <TaxCatchAll xmlns="32c83a25-b22d-480d-8556-52adf92b9d23" xsi:nil="true"/>
    <ExportedDate xmlns="1a6be2e8-895c-4bca-ac32-df7929f4fc9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4521D651DFF14E9969271D7139EBAE" ma:contentTypeVersion="22" ma:contentTypeDescription="Create a new document." ma:contentTypeScope="" ma:versionID="dca665db4af144ce8386a4381a1e77f1">
  <xsd:schema xmlns:xsd="http://www.w3.org/2001/XMLSchema" xmlns:xs="http://www.w3.org/2001/XMLSchema" xmlns:p="http://schemas.microsoft.com/office/2006/metadata/properties" xmlns:ns1="http://schemas.microsoft.com/sharepoint/v3" xmlns:ns2="1a6be2e8-895c-4bca-ac32-df7929f4fc94" xmlns:ns3="32c83a25-b22d-480d-8556-52adf92b9d23" targetNamespace="http://schemas.microsoft.com/office/2006/metadata/properties" ma:root="true" ma:fieldsID="b9f8b33bf744dd23ecb0427d7accedf5" ns1:_="" ns2:_="" ns3:_="">
    <xsd:import namespace="http://schemas.microsoft.com/sharepoint/v3"/>
    <xsd:import namespace="1a6be2e8-895c-4bca-ac32-df7929f4fc94"/>
    <xsd:import namespace="32c83a25-b22d-480d-8556-52adf92b9d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ExportedDate" minOccurs="0"/>
                <xsd:element ref="ns2:MediaServiceBillingMetadata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be2e8-895c-4bca-ac32-df7929f4f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cc7c8bc-0ab0-43df-9128-3d7a417bb1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xportedDate" ma:index="24" nillable="true" ma:displayName="ExportedDate" ma:format="DateOnly" ma:internalName="ExportedDate">
      <xsd:simpleType>
        <xsd:restriction base="dms:DateTim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83a25-b22d-480d-8556-52adf92b9d2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0e68568-f94c-41e7-b780-8b5dbac06898}" ma:internalName="TaxCatchAll" ma:showField="CatchAllData" ma:web="32c83a25-b22d-480d-8556-52adf92b9d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CEAE82-5710-4A25-B94D-AFE68277E1C5}">
  <ds:schemaRefs>
    <ds:schemaRef ds:uri="http://schemas.microsoft.com/office/2006/metadata/properties"/>
    <ds:schemaRef ds:uri="http://schemas.microsoft.com/office/infopath/2007/PartnerControls"/>
    <ds:schemaRef ds:uri="1a6be2e8-895c-4bca-ac32-df7929f4fc94"/>
    <ds:schemaRef ds:uri="32c83a25-b22d-480d-8556-52adf92b9d23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09A900A-D9F3-412E-826B-121F03D898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a6be2e8-895c-4bca-ac32-df7929f4fc94"/>
    <ds:schemaRef ds:uri="32c83a25-b22d-480d-8556-52adf92b9d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DCD5B0-9850-4CCE-A29D-FDDC2EBA3C0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d7e0652-b03d-4ed2-bf86-f1999cecde17}" enabled="0" method="" siteId="{6d7e0652-b03d-4ed2-bf86-f1999cecde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Overall-cost</vt:lpstr>
      <vt:lpstr>Cost-Estimation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Prapthi S</dc:creator>
  <cp:keywords/>
  <dc:description/>
  <cp:lastModifiedBy>Manoj Gowda</cp:lastModifiedBy>
  <cp:revision/>
  <dcterms:created xsi:type="dcterms:W3CDTF">2025-02-27T08:26:00Z</dcterms:created>
  <dcterms:modified xsi:type="dcterms:W3CDTF">2026-09-30T12:38:11Z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0x0101008F4521D651DFF14E9969271D7139EBAE</vt:lpwstr>
  </property>
  <property fmtid="{D5CDD505-2E9C-101B-9397-08002B2CF9AE}" pid="3" name="MediaServiceImageTags">
    <vt:lpwstr/>
  </property>
</Properties>
</file>